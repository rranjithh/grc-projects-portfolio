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isk Register" sheetId="2" state="visible" r:id="rId4"/>
    <sheet name="Heat Map" sheetId="3" state="visible" r:id="rId5"/>
    <sheet name="Control Mapp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<sst xmlns="http://schemas.openxmlformats.org/spreadsheetml/2006/main" count="328" uniqueCount="210">
  <si>
    <t xml:space="preserve">RISK ASSESSMENT &amp; RISK REGISTER</t>
  </si>
  <si>
    <t xml:space="preserve">BrightPay Fintech  |  ISO 27001:2022 Annex A  |  5×5 Likelihood-Impact Matrix  |  2025</t>
  </si>
  <si>
    <t xml:space="preserve">10</t>
  </si>
  <si>
    <t xml:space="preserve">~18</t>
  </si>
  <si>
    <t xml:space="preserve">~10</t>
  </si>
  <si>
    <t xml:space="preserve">~60%</t>
  </si>
  <si>
    <t xml:space="preserve">5</t>
  </si>
  <si>
    <t xml:space="preserve">Risks Identified</t>
  </si>
  <si>
    <t xml:space="preserve">Avg. Inherent Score</t>
  </si>
  <si>
    <t xml:space="preserve">Avg. Residual Score</t>
  </si>
  <si>
    <t xml:space="preserve">High-Risk Reduction</t>
  </si>
  <si>
    <t xml:space="preserve">Controls Applied</t>
  </si>
  <si>
    <t xml:space="preserve">Scope</t>
  </si>
  <si>
    <t xml:space="preserve">Fintech SaaS — customer data, payment processing, cloud infrastructure, third-party APIs</t>
  </si>
  <si>
    <t xml:space="preserve">Framework</t>
  </si>
  <si>
    <t xml:space="preserve">ISO 27001:2022 Annex A  |  5×5 Risk Scoring Matrix</t>
  </si>
  <si>
    <t xml:space="preserve">Asset Categories</t>
  </si>
  <si>
    <t xml:space="preserve">Cloud Infrastructure · Payment APIs · User Data Stores · Admin Accounts · Third-Party Integrations · Employee Endpoints</t>
  </si>
  <si>
    <t xml:space="preserve">Risk Owners</t>
  </si>
  <si>
    <t xml:space="preserve">CISO · IT Manager · Compliance Lead · DevOps Lead</t>
  </si>
  <si>
    <t xml:space="preserve">Review Cadence</t>
  </si>
  <si>
    <t xml:space="preserve">Quarterly — High Risks  |  Bi-annually — Medium / Low Risks</t>
  </si>
  <si>
    <t xml:space="preserve">Scoring Thresholds</t>
  </si>
  <si>
    <t xml:space="preserve">High ≥ 15  |  Medium 8–14  |  Low &lt; 8  |  Max Score = 25 (5 × 5)</t>
  </si>
  <si>
    <t xml:space="preserve">RISK TIER LEGEND</t>
  </si>
  <si>
    <t xml:space="preserve">HIGH</t>
  </si>
  <si>
    <t xml:space="preserve">Score &gt;= 15  |  Immediate action  |  Quarterly review</t>
  </si>
  <si>
    <t xml:space="preserve">MEDIUM</t>
  </si>
  <si>
    <t xml:space="preserve">Score 8-14  |  Controls required  |  Bi-annual review</t>
  </si>
  <si>
    <t xml:space="preserve">LOW</t>
  </si>
  <si>
    <t xml:space="preserve">Score &lt; 8   |  Monitor  |  Annual review</t>
  </si>
  <si>
    <t xml:space="preserve">BrightPay Fintech — Risk Register  |  ISO 27001:2022 Annex A  |  2025</t>
  </si>
  <si>
    <t xml:space="preserve">INHERENT RISK</t>
  </si>
  <si>
    <t xml:space="preserve">CONTROL</t>
  </si>
  <si>
    <t xml:space="preserve">RESIDUAL RISK</t>
  </si>
  <si>
    <t xml:space="preserve">Risk ID</t>
  </si>
  <si>
    <t xml:space="preserve">Asset Category</t>
  </si>
  <si>
    <t xml:space="preserve">Risk Description</t>
  </si>
  <si>
    <t xml:space="preserve">Threat Type</t>
  </si>
  <si>
    <t xml:space="preserve">Likelihood
(1–5)</t>
  </si>
  <si>
    <t xml:space="preserve">Impact
(1–5)</t>
  </si>
  <si>
    <t xml:space="preserve">Inherent
Score</t>
  </si>
  <si>
    <t xml:space="preserve">Control Applied
(Annex A Reference)</t>
  </si>
  <si>
    <t xml:space="preserve">Likelihood
(Post-Control)</t>
  </si>
  <si>
    <t xml:space="preserve">Impact
(Post-Control)</t>
  </si>
  <si>
    <t xml:space="preserve">Residual
Score</t>
  </si>
  <si>
    <t xml:space="preserve">Risk Tier</t>
  </si>
  <si>
    <t xml:space="preserve">Risk Owner</t>
  </si>
  <si>
    <t xml:space="preserve">Next Review</t>
  </si>
  <si>
    <t xml:space="preserve">Status</t>
  </si>
  <si>
    <t xml:space="preserve">R-001</t>
  </si>
  <si>
    <t xml:space="preserve">Payment APIs</t>
  </si>
  <si>
    <t xml:space="preserve">Unauthorised access to payment APIs via stolen or weak credentials</t>
  </si>
  <si>
    <t xml:space="preserve">Credential Attack</t>
  </si>
  <si>
    <t xml:space="preserve">MFA (A.8.5) + RBAC (A.8.2) + API Key Rotation</t>
  </si>
  <si>
    <t xml:space="preserve">CISO</t>
  </si>
  <si>
    <t xml:space="preserve">Q3 2025</t>
  </si>
  <si>
    <t xml:space="preserve">Controls Implemented</t>
  </si>
  <si>
    <t xml:space="preserve">R-002</t>
  </si>
  <si>
    <t xml:space="preserve">User Data Stores</t>
  </si>
  <si>
    <t xml:space="preserve">Data breach via unencrypted data storage exposing customer PII</t>
  </si>
  <si>
    <t xml:space="preserve">Data Exposure</t>
  </si>
  <si>
    <t xml:space="preserve">AES-256 Encryption at Rest (A.8.24) + DLP</t>
  </si>
  <si>
    <t xml:space="preserve">IT Manager</t>
  </si>
  <si>
    <t xml:space="preserve">R-003</t>
  </si>
  <si>
    <t xml:space="preserve">Admin Accounts</t>
  </si>
  <si>
    <t xml:space="preserve">Privilege escalation by malicious insider gaining unauthorised admin access</t>
  </si>
  <si>
    <t xml:space="preserve">Insider Threat</t>
  </si>
  <si>
    <t xml:space="preserve">RBAC (A.8.2) + Quarterly Access Review (A.8.3)</t>
  </si>
  <si>
    <t xml:space="preserve">Q2 2025</t>
  </si>
  <si>
    <t xml:space="preserve">Review Scheduled</t>
  </si>
  <si>
    <t xml:space="preserve">R-004</t>
  </si>
  <si>
    <t xml:space="preserve">Cloud Infrastructure</t>
  </si>
  <si>
    <t xml:space="preserve">DDoS attack overwhelming payment gateway and causing service outage</t>
  </si>
  <si>
    <t xml:space="preserve">Availability Attack</t>
  </si>
  <si>
    <t xml:space="preserve">WAF + Rate Limiting (A.8.20) + Redundancy</t>
  </si>
  <si>
    <t xml:space="preserve">DevOps Lead</t>
  </si>
  <si>
    <t xml:space="preserve">R-005</t>
  </si>
  <si>
    <t xml:space="preserve">Third-Party Integrations</t>
  </si>
  <si>
    <t xml:space="preserve">Third-party API compromise propagating attack to BrightPay systems</t>
  </si>
  <si>
    <t xml:space="preserve">Supply Chain Attack</t>
  </si>
  <si>
    <t xml:space="preserve">Vendor Risk Assessment (A.5.19) + Contractual SLA</t>
  </si>
  <si>
    <t xml:space="preserve">Compliance Lead</t>
  </si>
  <si>
    <t xml:space="preserve">Monitoring</t>
  </si>
  <si>
    <t xml:space="preserve">R-006</t>
  </si>
  <si>
    <t xml:space="preserve">Employee Endpoints</t>
  </si>
  <si>
    <t xml:space="preserve">Malware infection via phishing email on employee endpoint</t>
  </si>
  <si>
    <t xml:space="preserve">Phishing / Malware</t>
  </si>
  <si>
    <t xml:space="preserve">Endpoint Detection &amp; Response (A.8.7) + Security Awareness Training (A.6.3)</t>
  </si>
  <si>
    <t xml:space="preserve">Training Ongoing</t>
  </si>
  <si>
    <t xml:space="preserve">R-007</t>
  </si>
  <si>
    <t xml:space="preserve">Misconfigured cloud storage bucket exposing sensitive data publicly</t>
  </si>
  <si>
    <t xml:space="preserve">Misconfiguration</t>
  </si>
  <si>
    <t xml:space="preserve">Cloud Security Posture Mgmt (A.8.9) + Config Audit</t>
  </si>
  <si>
    <t xml:space="preserve">R-008</t>
  </si>
  <si>
    <t xml:space="preserve">SQL injection attack against customer database via web application</t>
  </si>
  <si>
    <t xml:space="preserve">Injection Attack</t>
  </si>
  <si>
    <t xml:space="preserve">WAF (A.8.20) + Input Validation + Penetration Testing (A.8.8)</t>
  </si>
  <si>
    <t xml:space="preserve">R-009</t>
  </si>
  <si>
    <t xml:space="preserve">Shared or unrotated admin credentials enabling persistent unauthorised access</t>
  </si>
  <si>
    <t xml:space="preserve">Credential Misuse</t>
  </si>
  <si>
    <t xml:space="preserve">Password Policy (A.8.5) + Privileged Access Mgmt + Rotation Policy</t>
  </si>
  <si>
    <t xml:space="preserve">Policy Published</t>
  </si>
  <si>
    <t xml:space="preserve">R-010</t>
  </si>
  <si>
    <t xml:space="preserve">Inadequate due diligence on new third-party vendor introducing compliance risk</t>
  </si>
  <si>
    <t xml:space="preserve">Compliance / Legal Risk</t>
  </si>
  <si>
    <t xml:space="preserve">Vendor Onboarding Process (A.5.19) + SoA Review</t>
  </si>
  <si>
    <t xml:space="preserve">Q4 2025</t>
  </si>
  <si>
    <t xml:space="preserve">Process Defined</t>
  </si>
  <si>
    <t xml:space="preserve">SUMMARY</t>
  </si>
  <si>
    <t xml:space="preserve">Average Residual Score →</t>
  </si>
  <si>
    <t xml:space="preserve">Review cadence: Quarterly (High) | Bi-annually (Medium/Low)</t>
  </si>
  <si>
    <t xml:space="preserve">RISK HEAT MAP — BrightPay Fintech</t>
  </si>
  <si>
    <t xml:space="preserve">ISO 27001:2022 Annex A  |  5×5 Likelihood × Impact Matrix  |  2025</t>
  </si>
  <si>
    <t xml:space="preserve">IMPACT  →</t>
  </si>
  <si>
    <t xml:space="preserve">1 — Negligible</t>
  </si>
  <si>
    <t xml:space="preserve">2 — Minor</t>
  </si>
  <si>
    <t xml:space="preserve">3 — Moderate</t>
  </si>
  <si>
    <t xml:space="preserve">4 — Major</t>
  </si>
  <si>
    <t xml:space="preserve">5 — Catastrophic</t>
  </si>
  <si>
    <t xml:space="preserve">5 — Almost
Certain</t>
  </si>
  <si>
    <t xml:space="preserve">Score: 5</t>
  </si>
  <si>
    <t xml:space="preserve">Score: 10</t>
  </si>
  <si>
    <t xml:space="preserve">Score: 15</t>
  </si>
  <si>
    <t xml:space="preserve">Score: 20</t>
  </si>
  <si>
    <t xml:space="preserve">Score: 25</t>
  </si>
  <si>
    <t xml:space="preserve">4 — Likely</t>
  </si>
  <si>
    <t xml:space="preserve">Score: 4</t>
  </si>
  <si>
    <t xml:space="preserve">Score: 8</t>
  </si>
  <si>
    <t xml:space="preserve">Score: 12
R-006</t>
  </si>
  <si>
    <t xml:space="preserve">Score: 16
R-004</t>
  </si>
  <si>
    <t xml:space="preserve">Score: 20
R-001</t>
  </si>
  <si>
    <t xml:space="preserve">3 — Possible</t>
  </si>
  <si>
    <t xml:space="preserve">Score: 3</t>
  </si>
  <si>
    <t xml:space="preserve">Score: 6</t>
  </si>
  <si>
    <t xml:space="preserve">Score: 9</t>
  </si>
  <si>
    <t xml:space="preserve">Score: 12
R-003
R-005
R-009</t>
  </si>
  <si>
    <t xml:space="preserve">Score: 15
R-002
R-007
R-008</t>
  </si>
  <si>
    <t xml:space="preserve">2 — Unlikely</t>
  </si>
  <si>
    <t xml:space="preserve">Score: 2</t>
  </si>
  <si>
    <t xml:space="preserve">Score: 8
R-010</t>
  </si>
  <si>
    <t xml:space="preserve">1 — Rare</t>
  </si>
  <si>
    <t xml:space="preserve">Score: 1</t>
  </si>
  <si>
    <t xml:space="preserve">CRITICAL (Score 20–25)</t>
  </si>
  <si>
    <t xml:space="preserve">Immediate escalation to CISO | P1 Response SLA</t>
  </si>
  <si>
    <t xml:space="preserve">HIGH (Score 15–19)</t>
  </si>
  <si>
    <t xml:space="preserve">Immediate controls required | Quarterly review</t>
  </si>
  <si>
    <t xml:space="preserve">MEDIUM (Score 8–14)</t>
  </si>
  <si>
    <t xml:space="preserve">Controls required | Bi-annual review</t>
  </si>
  <si>
    <t xml:space="preserve">LOW-MEDIUM (Score 5–7)</t>
  </si>
  <si>
    <t xml:space="preserve">Monitor | Annual review</t>
  </si>
  <si>
    <t xml:space="preserve">LOW (Score 1–4)</t>
  </si>
  <si>
    <t xml:space="preserve">Accept with monitoring | Annual review</t>
  </si>
  <si>
    <t xml:space="preserve">RESIDUAL RISK HEAT MAP (After Controls Applied)</t>
  </si>
  <si>
    <t xml:space="preserve">Score: 12</t>
  </si>
  <si>
    <t xml:space="preserve">Score: 16</t>
  </si>
  <si>
    <t xml:space="preserve">Score: 6
R-002
R-003
R-006
R-009</t>
  </si>
  <si>
    <t xml:space="preserve">Score: 8
R-001
R-004
R-005</t>
  </si>
  <si>
    <t xml:space="preserve">Score: 3
R-010</t>
  </si>
  <si>
    <t xml:space="preserve">Score: 4
R-007
R-008</t>
  </si>
  <si>
    <t xml:space="preserve">ISO 27001:2022 Annex A — Control Mapping</t>
  </si>
  <si>
    <t xml:space="preserve">Annex A Control</t>
  </si>
  <si>
    <t xml:space="preserve">Control Description</t>
  </si>
  <si>
    <t xml:space="preserve">Control Type</t>
  </si>
  <si>
    <t xml:space="preserve">Implementation
Status</t>
  </si>
  <si>
    <t xml:space="preserve">Effectiveness</t>
  </si>
  <si>
    <t xml:space="preserve">Annex A Ref</t>
  </si>
  <si>
    <t xml:space="preserve">Multi-Factor Authentication</t>
  </si>
  <si>
    <t xml:space="preserve">Enforce MFA for all API access and admin logins to prevent credential-based attacks</t>
  </si>
  <si>
    <t xml:space="preserve">Preventive</t>
  </si>
  <si>
    <t xml:space="preserve">Implemented</t>
  </si>
  <si>
    <t xml:space="preserve">High</t>
  </si>
  <si>
    <t xml:space="preserve">A.8.5</t>
  </si>
  <si>
    <t xml:space="preserve">Role-Based Access Control</t>
  </si>
  <si>
    <t xml:space="preserve">Restrict API and system access to authorised roles only; review quarterly</t>
  </si>
  <si>
    <t xml:space="preserve">A.8.2</t>
  </si>
  <si>
    <t xml:space="preserve">Encryption at Rest</t>
  </si>
  <si>
    <t xml:space="preserve">AES-256 encryption applied to all customer PII and payment data in storage</t>
  </si>
  <si>
    <t xml:space="preserve">A.8.24</t>
  </si>
  <si>
    <t xml:space="preserve">Access Review</t>
  </si>
  <si>
    <t xml:space="preserve">Quarterly review of all privileged account access rights to detect unnecessary privileges</t>
  </si>
  <si>
    <t xml:space="preserve">Detective</t>
  </si>
  <si>
    <t xml:space="preserve">Medium</t>
  </si>
  <si>
    <t xml:space="preserve">A.8.3</t>
  </si>
  <si>
    <t xml:space="preserve">Web Application Firewall</t>
  </si>
  <si>
    <t xml:space="preserve">WAF deployed to filter malicious traffic and DDoS attempts on payment gateway</t>
  </si>
  <si>
    <t xml:space="preserve">A.8.20</t>
  </si>
  <si>
    <t xml:space="preserve">Rate Limiting</t>
  </si>
  <si>
    <t xml:space="preserve">API rate limiting to throttle excessive requests and prevent DDoS amplification</t>
  </si>
  <si>
    <t xml:space="preserve">Supplier Information Security Policy</t>
  </si>
  <si>
    <t xml:space="preserve">Vendor risk assessments and contractual security requirements for all third-party APIs</t>
  </si>
  <si>
    <t xml:space="preserve">A.5.19</t>
  </si>
  <si>
    <t xml:space="preserve">Malware Protection</t>
  </si>
  <si>
    <t xml:space="preserve">Endpoint Detection and Response (EDR) deployed across all employee endpoints</t>
  </si>
  <si>
    <t xml:space="preserve">A.8.7</t>
  </si>
  <si>
    <t xml:space="preserve">Security Awareness Training</t>
  </si>
  <si>
    <t xml:space="preserve">Annual phishing simulation and security awareness training for all staff</t>
  </si>
  <si>
    <t xml:space="preserve">A.6.3</t>
  </si>
  <si>
    <t xml:space="preserve">Secure Configuration Management</t>
  </si>
  <si>
    <t xml:space="preserve">Cloud security posture management (CSPM) with automated misconfiguration alerts</t>
  </si>
  <si>
    <t xml:space="preserve">A.8.9</t>
  </si>
  <si>
    <t xml:space="preserve">Application Security Testing</t>
  </si>
  <si>
    <t xml:space="preserve">Regular penetration testing and vulnerability assessments of web applications</t>
  </si>
  <si>
    <t xml:space="preserve">Corrective</t>
  </si>
  <si>
    <t xml:space="preserve">Scheduled</t>
  </si>
  <si>
    <t xml:space="preserve">A.8.8</t>
  </si>
  <si>
    <t xml:space="preserve">Password and Credential Policy</t>
  </si>
  <si>
    <t xml:space="preserve">Privileged access management (PAM) with enforced rotation and complexity policies</t>
  </si>
  <si>
    <t xml:space="preserve">Supplier Relationship Management</t>
  </si>
  <si>
    <t xml:space="preserve">Structured vendor onboarding process including security questionnaire and SoA review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</si>
</sst>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22"/>
      <color rgb="FF1F4E79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BF3FB"/>
        <bgColor rgb="FFF2F5F8"/>
      </patternFill>
    </fill>
    <fill>
      <patternFill patternType="solid">
        <fgColor rgb="FFC00000"/>
        <bgColor rgb="FFFF0000"/>
      </patternFill>
    </fill>
    <fill>
      <patternFill patternType="solid">
        <fgColor rgb="FFED7D31"/>
        <bgColor rgb="FFFF8080"/>
      </patternFill>
    </fill>
    <fill>
      <patternFill patternType="solid">
        <fgColor rgb="FF375623"/>
        <bgColor rgb="FF595959"/>
      </patternFill>
    </fill>
    <fill>
      <patternFill patternType="solid">
        <fgColor rgb="FF595959"/>
        <bgColor rgb="FF375623"/>
      </patternFill>
    </fill>
    <fill>
      <patternFill patternType="solid">
        <fgColor rgb="FFFFFFFF"/>
        <bgColor rgb="FFF2F5F8"/>
      </patternFill>
    </fill>
    <fill>
      <patternFill patternType="solid">
        <fgColor rgb="FFFCEAEA"/>
        <bgColor rgb="FFFCE4D6"/>
      </patternFill>
    </fill>
    <fill>
      <patternFill patternType="solid">
        <fgColor rgb="FFFCE4D6"/>
        <bgColor rgb="FFFCEAEA"/>
      </patternFill>
    </fill>
    <fill>
      <patternFill patternType="solid">
        <fgColor rgb="FFF2F5F8"/>
        <bgColor rgb="FFEBF3FB"/>
      </patternFill>
    </fill>
    <fill>
      <patternFill patternType="solid">
        <fgColor rgb="FFE2EFDA"/>
        <bgColor rgb="FFEBF3FB"/>
      </patternFill>
    </fill>
    <fill>
      <patternFill patternType="solid">
        <fgColor rgb="FFFFD966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5F8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AEA"/>
      <rgbColor rgb="FFE2EFDA"/>
      <rgbColor rgb="FFFCE4D6"/>
      <rgbColor rgb="FF99CCFF"/>
      <rgbColor rgb="FFFF99CC"/>
      <rgbColor rgb="FFCC99FF"/>
      <rgbColor rgb="FFFFD966"/>
      <rgbColor rgb="FF2E75B6"/>
      <rgbColor rgb="FF33CCCC"/>
      <rgbColor rgb="FF92D05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4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9.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9.5" hidden="false" customHeight="tru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21.75" hidden="false" customHeight="true" outlineLevel="0" collapsed="false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</row>
    <row r="7" customFormat="false" ht="18" hidden="false" customHeight="true" outlineLevel="0" collapsed="false"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33.75" hidden="false" customHeight="true" outlineLevel="0" collapsed="false">
      <c r="B8" s="4" t="s">
        <v>2</v>
      </c>
      <c r="C8" s="4"/>
      <c r="D8" s="4" t="s">
        <v>3</v>
      </c>
      <c r="E8" s="4"/>
      <c r="F8" s="4" t="s">
        <v>4</v>
      </c>
      <c r="G8" s="4"/>
      <c r="H8" s="4" t="s">
        <v>5</v>
      </c>
      <c r="I8" s="4"/>
      <c r="J8" s="4" t="s">
        <v>6</v>
      </c>
      <c r="K8" s="4"/>
    </row>
    <row r="9" customFormat="false" ht="19.5" hidden="false" customHeight="true" outlineLevel="0" collapsed="false">
      <c r="B9" s="5" t="s">
        <v>7</v>
      </c>
      <c r="C9" s="5"/>
      <c r="D9" s="5" t="s">
        <v>8</v>
      </c>
      <c r="E9" s="5"/>
      <c r="F9" s="5" t="s">
        <v>9</v>
      </c>
      <c r="G9" s="5"/>
      <c r="H9" s="5" t="s">
        <v>10</v>
      </c>
      <c r="I9" s="5"/>
      <c r="J9" s="5" t="s">
        <v>11</v>
      </c>
      <c r="K9" s="5"/>
    </row>
    <row r="10" customFormat="false" ht="7.5" hidden="false" customHeight="true" outlineLevel="0" collapsed="false"/>
    <row r="11" customFormat="false" ht="7.5" hidden="false" customHeight="true" outlineLevel="0" collapsed="false"/>
    <row r="12" customFormat="false" ht="19.5" hidden="false" customHeight="true" outlineLevel="0" collapsed="false">
      <c r="B12" s="6" t="s">
        <v>12</v>
      </c>
      <c r="C12" s="6"/>
      <c r="D12" s="7" t="s">
        <v>13</v>
      </c>
      <c r="E12" s="7"/>
      <c r="F12" s="7"/>
      <c r="G12" s="7"/>
      <c r="H12" s="7"/>
      <c r="I12" s="7"/>
      <c r="J12" s="7"/>
      <c r="K12" s="7"/>
    </row>
    <row r="13" customFormat="false" ht="19.5" hidden="false" customHeight="true" outlineLevel="0" collapsed="false">
      <c r="B13" s="6" t="s">
        <v>14</v>
      </c>
      <c r="C13" s="6"/>
      <c r="D13" s="7" t="s">
        <v>15</v>
      </c>
      <c r="E13" s="7"/>
      <c r="F13" s="7"/>
      <c r="G13" s="7"/>
      <c r="H13" s="7"/>
      <c r="I13" s="7"/>
      <c r="J13" s="7"/>
      <c r="K13" s="7"/>
    </row>
    <row r="14" customFormat="false" ht="19.5" hidden="false" customHeight="true" outlineLevel="0" collapsed="false">
      <c r="B14" s="6" t="s">
        <v>16</v>
      </c>
      <c r="C14" s="6"/>
      <c r="D14" s="7" t="s">
        <v>17</v>
      </c>
      <c r="E14" s="7"/>
      <c r="F14" s="7"/>
      <c r="G14" s="7"/>
      <c r="H14" s="7"/>
      <c r="I14" s="7"/>
      <c r="J14" s="7"/>
      <c r="K14" s="7"/>
    </row>
    <row r="15" customFormat="false" ht="19.5" hidden="false" customHeight="true" outlineLevel="0" collapsed="false">
      <c r="B15" s="6" t="s">
        <v>18</v>
      </c>
      <c r="C15" s="6"/>
      <c r="D15" s="7" t="s">
        <v>19</v>
      </c>
      <c r="E15" s="7"/>
      <c r="F15" s="7"/>
      <c r="G15" s="7"/>
      <c r="H15" s="7"/>
      <c r="I15" s="7"/>
      <c r="J15" s="7"/>
      <c r="K15" s="7"/>
    </row>
    <row r="16" customFormat="false" ht="19.5" hidden="false" customHeight="true" outlineLevel="0" collapsed="false">
      <c r="B16" s="6" t="s">
        <v>20</v>
      </c>
      <c r="C16" s="6"/>
      <c r="D16" s="7" t="s">
        <v>21</v>
      </c>
      <c r="E16" s="7"/>
      <c r="F16" s="7"/>
      <c r="G16" s="7"/>
      <c r="H16" s="7"/>
      <c r="I16" s="7"/>
      <c r="J16" s="7"/>
      <c r="K16" s="7"/>
    </row>
    <row r="17" customFormat="false" ht="19.5" hidden="false" customHeight="true" outlineLevel="0" collapsed="false">
      <c r="B17" s="6" t="s">
        <v>22</v>
      </c>
      <c r="C17" s="6"/>
      <c r="D17" s="7" t="s">
        <v>23</v>
      </c>
      <c r="E17" s="7"/>
      <c r="F17" s="7"/>
      <c r="G17" s="7"/>
      <c r="H17" s="7"/>
      <c r="I17" s="7"/>
      <c r="J17" s="7"/>
      <c r="K17" s="7"/>
    </row>
    <row r="19" customFormat="false" ht="15.75" hidden="false" customHeight="true" outlineLevel="0" collapsed="false">
      <c r="B19" s="8" t="s">
        <v>24</v>
      </c>
      <c r="C19" s="8"/>
      <c r="D19" s="8"/>
      <c r="E19" s="8"/>
      <c r="F19" s="8"/>
      <c r="G19" s="8"/>
      <c r="H19" s="8"/>
      <c r="I19" s="8"/>
      <c r="J19" s="8"/>
      <c r="K19" s="8"/>
    </row>
    <row r="20" customFormat="false" ht="27.75" hidden="false" customHeight="true" outlineLevel="0" collapsed="false">
      <c r="B20" s="9" t="s">
        <v>25</v>
      </c>
      <c r="C20" s="9"/>
      <c r="D20" s="10" t="s">
        <v>26</v>
      </c>
      <c r="E20" s="11" t="s">
        <v>27</v>
      </c>
      <c r="F20" s="11"/>
      <c r="G20" s="10" t="s">
        <v>28</v>
      </c>
      <c r="H20" s="12" t="s">
        <v>29</v>
      </c>
      <c r="I20" s="12"/>
      <c r="K20" s="10" t="s">
        <v>30</v>
      </c>
    </row>
  </sheetData>
  <mergeCells count="33">
    <mergeCell ref="B2:K4"/>
    <mergeCell ref="B5:K5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2:C12"/>
    <mergeCell ref="D12:K12"/>
    <mergeCell ref="B13:C13"/>
    <mergeCell ref="D13:K13"/>
    <mergeCell ref="B14:C14"/>
    <mergeCell ref="D14:K14"/>
    <mergeCell ref="B15:C15"/>
    <mergeCell ref="D15:K15"/>
    <mergeCell ref="B16:C16"/>
    <mergeCell ref="D16:K16"/>
    <mergeCell ref="B17:C17"/>
    <mergeCell ref="D17:K17"/>
    <mergeCell ref="B19:K19"/>
    <mergeCell ref="B20:C20"/>
    <mergeCell ref="E20:F20"/>
    <mergeCell ref="H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6" min="16" style="0" width="20"/>
    <col collapsed="false" customWidth="true" hidden="false" outlineLevel="0" max="17" min="17" style="0" width="4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13" t="s">
        <v>31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9.75" hidden="false" customHeight="tru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customFormat="false" ht="7.5" hidden="false" customHeight="true" outlineLevel="0" collapsed="false"/>
    <row r="5" customFormat="false" ht="18" hidden="false" customHeight="true" outlineLevel="0" collapsed="false">
      <c r="F5" s="14" t="s">
        <v>32</v>
      </c>
      <c r="G5" s="14"/>
      <c r="H5" s="14"/>
      <c r="I5" s="15" t="s">
        <v>33</v>
      </c>
      <c r="J5" s="16" t="s">
        <v>34</v>
      </c>
      <c r="K5" s="16"/>
      <c r="L5" s="16"/>
    </row>
    <row r="6" customFormat="false" ht="30" hidden="false" customHeight="true" outlineLevel="0" collapsed="false">
      <c r="B6" s="17" t="s">
        <v>35</v>
      </c>
      <c r="C6" s="17" t="s">
        <v>36</v>
      </c>
      <c r="D6" s="17" t="s">
        <v>37</v>
      </c>
      <c r="E6" s="17" t="s">
        <v>38</v>
      </c>
      <c r="F6" s="17" t="s">
        <v>39</v>
      </c>
      <c r="G6" s="17" t="s">
        <v>40</v>
      </c>
      <c r="H6" s="17" t="s">
        <v>41</v>
      </c>
      <c r="I6" s="17" t="s">
        <v>42</v>
      </c>
      <c r="J6" s="17" t="s">
        <v>43</v>
      </c>
      <c r="K6" s="17" t="s">
        <v>44</v>
      </c>
      <c r="L6" s="17" t="s">
        <v>45</v>
      </c>
      <c r="M6" s="17" t="s">
        <v>46</v>
      </c>
      <c r="N6" s="17" t="s">
        <v>47</v>
      </c>
      <c r="O6" s="17" t="s">
        <v>48</v>
      </c>
      <c r="P6" s="17" t="s">
        <v>49</v>
      </c>
    </row>
    <row r="7" customFormat="false" ht="39.75" hidden="false" customHeight="true" outlineLevel="0" collapsed="false">
      <c r="B7" s="18" t="s">
        <v>50</v>
      </c>
      <c r="C7" s="18" t="s">
        <v>51</v>
      </c>
      <c r="D7" s="18" t="s">
        <v>52</v>
      </c>
      <c r="E7" s="18" t="s">
        <v>53</v>
      </c>
      <c r="F7" s="19" t="n">
        <v>4</v>
      </c>
      <c r="G7" s="19" t="n">
        <v>5</v>
      </c>
      <c r="H7" s="20" t="n">
        <f aca="false">F7*G7</f>
        <v>20</v>
      </c>
      <c r="I7" s="18" t="s">
        <v>54</v>
      </c>
      <c r="J7" s="21" t="n">
        <v>2</v>
      </c>
      <c r="K7" s="21" t="n">
        <v>4</v>
      </c>
      <c r="L7" s="22" t="n">
        <f aca="false">J7*K7</f>
        <v>8</v>
      </c>
      <c r="M7" s="23" t="s">
        <v>27</v>
      </c>
      <c r="N7" s="18" t="s">
        <v>55</v>
      </c>
      <c r="O7" s="18" t="s">
        <v>56</v>
      </c>
      <c r="P7" s="18" t="s">
        <v>57</v>
      </c>
    </row>
    <row r="8" customFormat="false" ht="39.75" hidden="false" customHeight="true" outlineLevel="0" collapsed="false">
      <c r="B8" s="24" t="s">
        <v>58</v>
      </c>
      <c r="C8" s="24" t="s">
        <v>59</v>
      </c>
      <c r="D8" s="24" t="s">
        <v>60</v>
      </c>
      <c r="E8" s="24" t="s">
        <v>61</v>
      </c>
      <c r="F8" s="19" t="n">
        <v>3</v>
      </c>
      <c r="G8" s="19" t="n">
        <v>5</v>
      </c>
      <c r="H8" s="20" t="n">
        <f aca="false">F8*G8</f>
        <v>15</v>
      </c>
      <c r="I8" s="24" t="s">
        <v>62</v>
      </c>
      <c r="J8" s="25" t="n">
        <v>2</v>
      </c>
      <c r="K8" s="25" t="n">
        <v>3</v>
      </c>
      <c r="L8" s="26" t="n">
        <f aca="false">J8*K8</f>
        <v>6</v>
      </c>
      <c r="M8" s="27" t="s">
        <v>29</v>
      </c>
      <c r="N8" s="24" t="s">
        <v>63</v>
      </c>
      <c r="O8" s="24" t="s">
        <v>56</v>
      </c>
      <c r="P8" s="24" t="s">
        <v>57</v>
      </c>
    </row>
    <row r="9" customFormat="false" ht="39.75" hidden="false" customHeight="true" outlineLevel="0" collapsed="false">
      <c r="B9" s="18" t="s">
        <v>64</v>
      </c>
      <c r="C9" s="18" t="s">
        <v>65</v>
      </c>
      <c r="D9" s="18" t="s">
        <v>66</v>
      </c>
      <c r="E9" s="18" t="s">
        <v>67</v>
      </c>
      <c r="F9" s="21" t="n">
        <v>3</v>
      </c>
      <c r="G9" s="21" t="n">
        <v>4</v>
      </c>
      <c r="H9" s="22" t="n">
        <f aca="false">F9*G9</f>
        <v>12</v>
      </c>
      <c r="I9" s="18" t="s">
        <v>68</v>
      </c>
      <c r="J9" s="25" t="n">
        <v>2</v>
      </c>
      <c r="K9" s="25" t="n">
        <v>3</v>
      </c>
      <c r="L9" s="26" t="n">
        <f aca="false">J9*K9</f>
        <v>6</v>
      </c>
      <c r="M9" s="27" t="s">
        <v>29</v>
      </c>
      <c r="N9" s="18" t="s">
        <v>55</v>
      </c>
      <c r="O9" s="18" t="s">
        <v>69</v>
      </c>
      <c r="P9" s="18" t="s">
        <v>70</v>
      </c>
    </row>
    <row r="10" customFormat="false" ht="39.75" hidden="false" customHeight="true" outlineLevel="0" collapsed="false">
      <c r="B10" s="24" t="s">
        <v>71</v>
      </c>
      <c r="C10" s="24" t="s">
        <v>72</v>
      </c>
      <c r="D10" s="24" t="s">
        <v>73</v>
      </c>
      <c r="E10" s="24" t="s">
        <v>74</v>
      </c>
      <c r="F10" s="19" t="n">
        <v>4</v>
      </c>
      <c r="G10" s="19" t="n">
        <v>4</v>
      </c>
      <c r="H10" s="20" t="n">
        <f aca="false">F10*G10</f>
        <v>16</v>
      </c>
      <c r="I10" s="24" t="s">
        <v>75</v>
      </c>
      <c r="J10" s="21" t="n">
        <v>2</v>
      </c>
      <c r="K10" s="21" t="n">
        <v>4</v>
      </c>
      <c r="L10" s="22" t="n">
        <f aca="false">J10*K10</f>
        <v>8</v>
      </c>
      <c r="M10" s="23" t="s">
        <v>27</v>
      </c>
      <c r="N10" s="24" t="s">
        <v>76</v>
      </c>
      <c r="O10" s="24" t="s">
        <v>56</v>
      </c>
      <c r="P10" s="24" t="s">
        <v>57</v>
      </c>
    </row>
    <row r="11" customFormat="false" ht="39.75" hidden="false" customHeight="true" outlineLevel="0" collapsed="false">
      <c r="B11" s="18" t="s">
        <v>77</v>
      </c>
      <c r="C11" s="18" t="s">
        <v>78</v>
      </c>
      <c r="D11" s="18" t="s">
        <v>79</v>
      </c>
      <c r="E11" s="18" t="s">
        <v>80</v>
      </c>
      <c r="F11" s="21" t="n">
        <v>3</v>
      </c>
      <c r="G11" s="21" t="n">
        <v>4</v>
      </c>
      <c r="H11" s="22" t="n">
        <f aca="false">F11*G11</f>
        <v>12</v>
      </c>
      <c r="I11" s="18" t="s">
        <v>81</v>
      </c>
      <c r="J11" s="21" t="n">
        <v>2</v>
      </c>
      <c r="K11" s="21" t="n">
        <v>4</v>
      </c>
      <c r="L11" s="22" t="n">
        <f aca="false">J11*K11</f>
        <v>8</v>
      </c>
      <c r="M11" s="23" t="s">
        <v>27</v>
      </c>
      <c r="N11" s="18" t="s">
        <v>82</v>
      </c>
      <c r="O11" s="18" t="s">
        <v>56</v>
      </c>
      <c r="P11" s="18" t="s">
        <v>83</v>
      </c>
    </row>
    <row r="12" customFormat="false" ht="39.75" hidden="false" customHeight="true" outlineLevel="0" collapsed="false">
      <c r="B12" s="24" t="s">
        <v>84</v>
      </c>
      <c r="C12" s="24" t="s">
        <v>85</v>
      </c>
      <c r="D12" s="24" t="s">
        <v>86</v>
      </c>
      <c r="E12" s="24" t="s">
        <v>87</v>
      </c>
      <c r="F12" s="21" t="n">
        <v>4</v>
      </c>
      <c r="G12" s="21" t="n">
        <v>3</v>
      </c>
      <c r="H12" s="22" t="n">
        <f aca="false">F12*G12</f>
        <v>12</v>
      </c>
      <c r="I12" s="24" t="s">
        <v>88</v>
      </c>
      <c r="J12" s="25" t="n">
        <v>2</v>
      </c>
      <c r="K12" s="25" t="n">
        <v>3</v>
      </c>
      <c r="L12" s="26" t="n">
        <f aca="false">J12*K12</f>
        <v>6</v>
      </c>
      <c r="M12" s="27" t="s">
        <v>29</v>
      </c>
      <c r="N12" s="24" t="s">
        <v>63</v>
      </c>
      <c r="O12" s="24" t="s">
        <v>69</v>
      </c>
      <c r="P12" s="24" t="s">
        <v>89</v>
      </c>
    </row>
    <row r="13" customFormat="false" ht="39.75" hidden="false" customHeight="true" outlineLevel="0" collapsed="false">
      <c r="B13" s="18" t="s">
        <v>90</v>
      </c>
      <c r="C13" s="18" t="s">
        <v>72</v>
      </c>
      <c r="D13" s="18" t="s">
        <v>91</v>
      </c>
      <c r="E13" s="18" t="s">
        <v>92</v>
      </c>
      <c r="F13" s="19" t="n">
        <v>3</v>
      </c>
      <c r="G13" s="19" t="n">
        <v>5</v>
      </c>
      <c r="H13" s="20" t="n">
        <f aca="false">F13*G13</f>
        <v>15</v>
      </c>
      <c r="I13" s="18" t="s">
        <v>93</v>
      </c>
      <c r="J13" s="25" t="n">
        <v>1</v>
      </c>
      <c r="K13" s="25" t="n">
        <v>4</v>
      </c>
      <c r="L13" s="26" t="n">
        <f aca="false">J13*K13</f>
        <v>4</v>
      </c>
      <c r="M13" s="27" t="s">
        <v>29</v>
      </c>
      <c r="N13" s="18" t="s">
        <v>76</v>
      </c>
      <c r="O13" s="18" t="s">
        <v>69</v>
      </c>
      <c r="P13" s="18" t="s">
        <v>57</v>
      </c>
    </row>
    <row r="14" customFormat="false" ht="39.75" hidden="false" customHeight="true" outlineLevel="0" collapsed="false">
      <c r="B14" s="24" t="s">
        <v>94</v>
      </c>
      <c r="C14" s="24" t="s">
        <v>59</v>
      </c>
      <c r="D14" s="24" t="s">
        <v>95</v>
      </c>
      <c r="E14" s="24" t="s">
        <v>96</v>
      </c>
      <c r="F14" s="19" t="n">
        <v>3</v>
      </c>
      <c r="G14" s="19" t="n">
        <v>5</v>
      </c>
      <c r="H14" s="20" t="n">
        <f aca="false">F14*G14</f>
        <v>15</v>
      </c>
      <c r="I14" s="24" t="s">
        <v>97</v>
      </c>
      <c r="J14" s="25" t="n">
        <v>1</v>
      </c>
      <c r="K14" s="25" t="n">
        <v>4</v>
      </c>
      <c r="L14" s="26" t="n">
        <f aca="false">J14*K14</f>
        <v>4</v>
      </c>
      <c r="M14" s="27" t="s">
        <v>29</v>
      </c>
      <c r="N14" s="24" t="s">
        <v>63</v>
      </c>
      <c r="O14" s="24" t="s">
        <v>56</v>
      </c>
      <c r="P14" s="24" t="s">
        <v>57</v>
      </c>
    </row>
    <row r="15" customFormat="false" ht="39.75" hidden="false" customHeight="true" outlineLevel="0" collapsed="false">
      <c r="B15" s="18" t="s">
        <v>98</v>
      </c>
      <c r="C15" s="18" t="s">
        <v>65</v>
      </c>
      <c r="D15" s="18" t="s">
        <v>99</v>
      </c>
      <c r="E15" s="18" t="s">
        <v>100</v>
      </c>
      <c r="F15" s="21" t="n">
        <v>3</v>
      </c>
      <c r="G15" s="21" t="n">
        <v>4</v>
      </c>
      <c r="H15" s="22" t="n">
        <f aca="false">F15*G15</f>
        <v>12</v>
      </c>
      <c r="I15" s="18" t="s">
        <v>101</v>
      </c>
      <c r="J15" s="25" t="n">
        <v>2</v>
      </c>
      <c r="K15" s="25" t="n">
        <v>3</v>
      </c>
      <c r="L15" s="26" t="n">
        <f aca="false">J15*K15</f>
        <v>6</v>
      </c>
      <c r="M15" s="27" t="s">
        <v>29</v>
      </c>
      <c r="N15" s="18" t="s">
        <v>63</v>
      </c>
      <c r="O15" s="18" t="s">
        <v>69</v>
      </c>
      <c r="P15" s="18" t="s">
        <v>102</v>
      </c>
    </row>
    <row r="16" customFormat="false" ht="39.75" hidden="false" customHeight="true" outlineLevel="0" collapsed="false">
      <c r="B16" s="24" t="s">
        <v>103</v>
      </c>
      <c r="C16" s="24" t="s">
        <v>78</v>
      </c>
      <c r="D16" s="24" t="s">
        <v>104</v>
      </c>
      <c r="E16" s="24" t="s">
        <v>105</v>
      </c>
      <c r="F16" s="21" t="n">
        <v>2</v>
      </c>
      <c r="G16" s="21" t="n">
        <v>4</v>
      </c>
      <c r="H16" s="22" t="n">
        <f aca="false">F16*G16</f>
        <v>8</v>
      </c>
      <c r="I16" s="24" t="s">
        <v>106</v>
      </c>
      <c r="J16" s="25" t="n">
        <v>1</v>
      </c>
      <c r="K16" s="25" t="n">
        <v>3</v>
      </c>
      <c r="L16" s="26" t="n">
        <f aca="false">J16*K16</f>
        <v>3</v>
      </c>
      <c r="M16" s="27" t="s">
        <v>29</v>
      </c>
      <c r="N16" s="24" t="s">
        <v>82</v>
      </c>
      <c r="O16" s="24" t="s">
        <v>107</v>
      </c>
      <c r="P16" s="24" t="s">
        <v>108</v>
      </c>
    </row>
    <row r="17" customFormat="false" ht="19.5" hidden="false" customHeight="true" outlineLevel="0" collapsed="false">
      <c r="B17" s="8" t="s">
        <v>109</v>
      </c>
      <c r="C17" s="8"/>
      <c r="D17" s="8"/>
      <c r="E17" s="8"/>
      <c r="F17" s="8"/>
      <c r="G17" s="8"/>
      <c r="H17" s="28" t="n">
        <f aca="false">AVERAGE(H7:H16)</f>
        <v>13.7</v>
      </c>
      <c r="I17" s="8" t="s">
        <v>110</v>
      </c>
      <c r="J17" s="8"/>
      <c r="K17" s="8"/>
      <c r="L17" s="29" t="n">
        <f aca="false">AVERAGE(L7:L16)</f>
        <v>5.9</v>
      </c>
      <c r="M17" s="30" t="s">
        <v>111</v>
      </c>
      <c r="N17" s="30"/>
      <c r="O17" s="30"/>
      <c r="P17" s="30"/>
    </row>
  </sheetData>
  <mergeCells count="6">
    <mergeCell ref="B2:P3"/>
    <mergeCell ref="F5:H5"/>
    <mergeCell ref="J5:L5"/>
    <mergeCell ref="B17:G17"/>
    <mergeCell ref="I17:K17"/>
    <mergeCell ref="M17:P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7" min="3" style="0" width="22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4" min="10" style="0" width="3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3" t="s">
        <v>112</v>
      </c>
      <c r="C2" s="13"/>
      <c r="D2" s="13"/>
      <c r="E2" s="13"/>
      <c r="F2" s="13"/>
      <c r="G2" s="13"/>
    </row>
    <row r="3" customFormat="false" ht="9.75" hidden="false" customHeight="true" outlineLevel="0" collapsed="false">
      <c r="B3" s="13"/>
      <c r="C3" s="13"/>
      <c r="D3" s="13"/>
      <c r="E3" s="13"/>
      <c r="F3" s="13"/>
      <c r="G3" s="13"/>
    </row>
    <row r="4" customFormat="false" ht="18" hidden="false" customHeight="true" outlineLevel="0" collapsed="false">
      <c r="B4" s="31" t="s">
        <v>113</v>
      </c>
      <c r="C4" s="31"/>
      <c r="D4" s="31"/>
      <c r="E4" s="31"/>
      <c r="F4" s="31"/>
      <c r="G4" s="31"/>
    </row>
    <row r="5" customFormat="false" ht="7.5" hidden="false" customHeight="true" outlineLevel="0" collapsed="false"/>
    <row r="6" customFormat="false" ht="19.5" hidden="false" customHeight="true" outlineLevel="0" collapsed="false">
      <c r="C6" s="32" t="s">
        <v>114</v>
      </c>
      <c r="D6" s="32"/>
      <c r="E6" s="32"/>
      <c r="F6" s="32"/>
      <c r="G6" s="32"/>
    </row>
    <row r="7" customFormat="false" ht="21.75" hidden="false" customHeight="true" outlineLevel="0" collapsed="false">
      <c r="C7" s="33" t="s">
        <v>115</v>
      </c>
      <c r="D7" s="33" t="s">
        <v>116</v>
      </c>
      <c r="E7" s="33" t="s">
        <v>117</v>
      </c>
      <c r="F7" s="33" t="s">
        <v>118</v>
      </c>
      <c r="G7" s="33" t="s">
        <v>119</v>
      </c>
    </row>
    <row r="8" customFormat="false" ht="51.75" hidden="false" customHeight="true" outlineLevel="0" collapsed="false">
      <c r="B8" s="33" t="s">
        <v>120</v>
      </c>
      <c r="C8" s="34" t="s">
        <v>121</v>
      </c>
      <c r="D8" s="35" t="s">
        <v>122</v>
      </c>
      <c r="E8" s="36" t="s">
        <v>123</v>
      </c>
      <c r="F8" s="37" t="s">
        <v>124</v>
      </c>
      <c r="G8" s="37" t="s">
        <v>125</v>
      </c>
    </row>
    <row r="9" customFormat="false" ht="51.75" hidden="false" customHeight="true" outlineLevel="0" collapsed="false">
      <c r="B9" s="33" t="s">
        <v>126</v>
      </c>
      <c r="C9" s="38" t="s">
        <v>127</v>
      </c>
      <c r="D9" s="34" t="s">
        <v>128</v>
      </c>
      <c r="E9" s="39" t="s">
        <v>129</v>
      </c>
      <c r="F9" s="40" t="s">
        <v>130</v>
      </c>
      <c r="G9" s="41" t="s">
        <v>131</v>
      </c>
    </row>
    <row r="10" customFormat="false" ht="51.75" hidden="false" customHeight="true" outlineLevel="0" collapsed="false">
      <c r="B10" s="33" t="s">
        <v>132</v>
      </c>
      <c r="C10" s="38" t="s">
        <v>133</v>
      </c>
      <c r="D10" s="34" t="s">
        <v>134</v>
      </c>
      <c r="E10" s="34" t="s">
        <v>135</v>
      </c>
      <c r="F10" s="39" t="s">
        <v>136</v>
      </c>
      <c r="G10" s="40" t="s">
        <v>137</v>
      </c>
    </row>
    <row r="11" customFormat="false" ht="51.75" hidden="false" customHeight="true" outlineLevel="0" collapsed="false">
      <c r="B11" s="33" t="s">
        <v>138</v>
      </c>
      <c r="C11" s="38" t="s">
        <v>139</v>
      </c>
      <c r="D11" s="38" t="s">
        <v>127</v>
      </c>
      <c r="E11" s="34" t="s">
        <v>134</v>
      </c>
      <c r="F11" s="42" t="s">
        <v>140</v>
      </c>
      <c r="G11" s="35" t="s">
        <v>122</v>
      </c>
    </row>
    <row r="12" customFormat="false" ht="51.75" hidden="false" customHeight="true" outlineLevel="0" collapsed="false">
      <c r="B12" s="33" t="s">
        <v>141</v>
      </c>
      <c r="C12" s="38" t="s">
        <v>142</v>
      </c>
      <c r="D12" s="38" t="s">
        <v>139</v>
      </c>
      <c r="E12" s="38" t="s">
        <v>133</v>
      </c>
      <c r="F12" s="38" t="s">
        <v>127</v>
      </c>
      <c r="G12" s="34" t="s">
        <v>121</v>
      </c>
    </row>
    <row r="13" customFormat="false" ht="9.75" hidden="false" customHeight="true" outlineLevel="0" collapsed="false"/>
    <row r="14" customFormat="false" ht="18" hidden="false" customHeight="true" outlineLevel="0" collapsed="false">
      <c r="B14" s="8" t="s">
        <v>24</v>
      </c>
      <c r="C14" s="8"/>
      <c r="D14" s="8"/>
      <c r="E14" s="8"/>
      <c r="F14" s="8"/>
      <c r="G14" s="8"/>
    </row>
    <row r="15" customFormat="false" ht="21.75" hidden="false" customHeight="true" outlineLevel="0" collapsed="false">
      <c r="B15" s="43" t="s">
        <v>143</v>
      </c>
      <c r="C15" s="43"/>
      <c r="D15" s="44" t="s">
        <v>144</v>
      </c>
      <c r="E15" s="44"/>
      <c r="F15" s="44"/>
      <c r="G15" s="44"/>
    </row>
    <row r="16" customFormat="false" ht="21.75" hidden="false" customHeight="true" outlineLevel="0" collapsed="false">
      <c r="B16" s="45" t="s">
        <v>145</v>
      </c>
      <c r="C16" s="45"/>
      <c r="D16" s="44" t="s">
        <v>146</v>
      </c>
      <c r="E16" s="44"/>
      <c r="F16" s="44"/>
      <c r="G16" s="44"/>
    </row>
    <row r="17" customFormat="false" ht="21.75" hidden="false" customHeight="true" outlineLevel="0" collapsed="false">
      <c r="B17" s="46" t="s">
        <v>147</v>
      </c>
      <c r="C17" s="46"/>
      <c r="D17" s="44" t="s">
        <v>148</v>
      </c>
      <c r="E17" s="44"/>
      <c r="F17" s="44"/>
      <c r="G17" s="44"/>
    </row>
    <row r="18" customFormat="false" ht="21.75" hidden="false" customHeight="true" outlineLevel="0" collapsed="false">
      <c r="B18" s="47" t="s">
        <v>149</v>
      </c>
      <c r="C18" s="47"/>
      <c r="D18" s="44" t="s">
        <v>150</v>
      </c>
      <c r="E18" s="44"/>
      <c r="F18" s="44"/>
      <c r="G18" s="44"/>
    </row>
    <row r="19" customFormat="false" ht="21.75" hidden="false" customHeight="true" outlineLevel="0" collapsed="false">
      <c r="B19" s="48" t="s">
        <v>151</v>
      </c>
      <c r="C19" s="48"/>
      <c r="D19" s="44" t="s">
        <v>152</v>
      </c>
      <c r="E19" s="44"/>
      <c r="F19" s="44"/>
      <c r="G19" s="44"/>
    </row>
    <row r="20" customFormat="false" ht="9.75" hidden="false" customHeight="true" outlineLevel="0" collapsed="false"/>
    <row r="21" customFormat="false" ht="24" hidden="false" customHeight="true" outlineLevel="0" collapsed="false">
      <c r="B21" s="49" t="s">
        <v>153</v>
      </c>
      <c r="C21" s="49"/>
      <c r="D21" s="49"/>
      <c r="E21" s="49"/>
      <c r="F21" s="49"/>
      <c r="G21" s="49"/>
    </row>
    <row r="22" customFormat="false" ht="9.75" hidden="false" customHeight="true" outlineLevel="0" collapsed="false">
      <c r="B22" s="49"/>
      <c r="C22" s="49"/>
      <c r="D22" s="49"/>
      <c r="E22" s="49"/>
      <c r="F22" s="49"/>
      <c r="G22" s="49"/>
    </row>
    <row r="23" customFormat="false" ht="19.5" hidden="false" customHeight="true" outlineLevel="0" collapsed="false">
      <c r="C23" s="32" t="s">
        <v>114</v>
      </c>
      <c r="D23" s="32"/>
      <c r="E23" s="32"/>
      <c r="F23" s="32"/>
      <c r="G23" s="32"/>
    </row>
    <row r="24" customFormat="false" ht="21.75" hidden="false" customHeight="true" outlineLevel="0" collapsed="false">
      <c r="C24" s="33" t="s">
        <v>115</v>
      </c>
      <c r="D24" s="33" t="s">
        <v>116</v>
      </c>
      <c r="E24" s="33" t="s">
        <v>117</v>
      </c>
      <c r="F24" s="33" t="s">
        <v>118</v>
      </c>
      <c r="G24" s="33" t="s">
        <v>119</v>
      </c>
    </row>
    <row r="25" customFormat="false" ht="51.75" hidden="false" customHeight="true" outlineLevel="0" collapsed="false">
      <c r="B25" s="33" t="s">
        <v>120</v>
      </c>
      <c r="C25" s="34" t="s">
        <v>121</v>
      </c>
      <c r="D25" s="35" t="s">
        <v>122</v>
      </c>
      <c r="E25" s="36" t="s">
        <v>123</v>
      </c>
      <c r="F25" s="37" t="s">
        <v>124</v>
      </c>
      <c r="G25" s="37" t="s">
        <v>125</v>
      </c>
    </row>
    <row r="26" customFormat="false" ht="51.75" hidden="false" customHeight="true" outlineLevel="0" collapsed="false">
      <c r="B26" s="33" t="s">
        <v>126</v>
      </c>
      <c r="C26" s="38" t="s">
        <v>127</v>
      </c>
      <c r="D26" s="34" t="s">
        <v>128</v>
      </c>
      <c r="E26" s="35" t="s">
        <v>154</v>
      </c>
      <c r="F26" s="36" t="s">
        <v>155</v>
      </c>
      <c r="G26" s="37" t="s">
        <v>124</v>
      </c>
    </row>
    <row r="27" customFormat="false" ht="51.75" hidden="false" customHeight="true" outlineLevel="0" collapsed="false">
      <c r="B27" s="33" t="s">
        <v>132</v>
      </c>
      <c r="C27" s="38" t="s">
        <v>133</v>
      </c>
      <c r="D27" s="34" t="s">
        <v>134</v>
      </c>
      <c r="E27" s="34" t="s">
        <v>135</v>
      </c>
      <c r="F27" s="35" t="s">
        <v>154</v>
      </c>
      <c r="G27" s="36" t="s">
        <v>123</v>
      </c>
    </row>
    <row r="28" customFormat="false" ht="51.75" hidden="false" customHeight="true" outlineLevel="0" collapsed="false">
      <c r="B28" s="33" t="s">
        <v>138</v>
      </c>
      <c r="C28" s="38" t="s">
        <v>139</v>
      </c>
      <c r="D28" s="38" t="s">
        <v>127</v>
      </c>
      <c r="E28" s="42" t="s">
        <v>156</v>
      </c>
      <c r="F28" s="42" t="s">
        <v>157</v>
      </c>
      <c r="G28" s="35" t="s">
        <v>122</v>
      </c>
    </row>
    <row r="29" customFormat="false" ht="51.75" hidden="false" customHeight="true" outlineLevel="0" collapsed="false">
      <c r="B29" s="33" t="s">
        <v>141</v>
      </c>
      <c r="C29" s="38" t="s">
        <v>142</v>
      </c>
      <c r="D29" s="38" t="s">
        <v>139</v>
      </c>
      <c r="E29" s="50" t="s">
        <v>158</v>
      </c>
      <c r="F29" s="50" t="s">
        <v>159</v>
      </c>
      <c r="G29" s="34" t="s">
        <v>121</v>
      </c>
    </row>
  </sheetData>
  <mergeCells count="16">
    <mergeCell ref="B2:G3"/>
    <mergeCell ref="B4:G4"/>
    <mergeCell ref="C6:G6"/>
    <mergeCell ref="B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1:G22"/>
    <mergeCell ref="C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5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9" min="9" style="0" width="4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13" t="s">
        <v>160</v>
      </c>
      <c r="C2" s="13"/>
      <c r="D2" s="13"/>
      <c r="E2" s="13"/>
      <c r="F2" s="13"/>
      <c r="G2" s="13"/>
      <c r="H2" s="13"/>
    </row>
    <row r="3" customFormat="false" ht="9.75" hidden="false" customHeight="true" outlineLevel="0" collapsed="false">
      <c r="B3" s="13"/>
      <c r="C3" s="13"/>
      <c r="D3" s="13"/>
      <c r="E3" s="13"/>
      <c r="F3" s="13"/>
      <c r="G3" s="13"/>
      <c r="H3" s="13"/>
    </row>
    <row r="4" customFormat="false" ht="7.5" hidden="false" customHeight="true" outlineLevel="0" collapsed="false"/>
    <row r="5" customFormat="false" ht="30" hidden="false" customHeight="true" outlineLevel="0" collapsed="false">
      <c r="B5" s="51" t="s">
        <v>35</v>
      </c>
      <c r="C5" s="51" t="s">
        <v>161</v>
      </c>
      <c r="D5" s="51" t="s">
        <v>162</v>
      </c>
      <c r="E5" s="51" t="s">
        <v>163</v>
      </c>
      <c r="F5" s="51" t="s">
        <v>164</v>
      </c>
      <c r="G5" s="51" t="s">
        <v>165</v>
      </c>
      <c r="H5" s="51" t="s">
        <v>166</v>
      </c>
    </row>
    <row r="6" customFormat="false" ht="36" hidden="false" customHeight="true" outlineLevel="0" collapsed="false">
      <c r="B6" s="52" t="s">
        <v>50</v>
      </c>
      <c r="C6" s="24" t="s">
        <v>167</v>
      </c>
      <c r="D6" s="24" t="s">
        <v>168</v>
      </c>
      <c r="E6" s="53" t="s">
        <v>169</v>
      </c>
      <c r="F6" s="25" t="s">
        <v>170</v>
      </c>
      <c r="G6" s="25" t="s">
        <v>171</v>
      </c>
      <c r="H6" s="54" t="s">
        <v>172</v>
      </c>
    </row>
    <row r="7" customFormat="false" ht="36" hidden="false" customHeight="true" outlineLevel="0" collapsed="false">
      <c r="B7" s="55" t="s">
        <v>50</v>
      </c>
      <c r="C7" s="18" t="s">
        <v>173</v>
      </c>
      <c r="D7" s="18" t="s">
        <v>174</v>
      </c>
      <c r="E7" s="53" t="s">
        <v>169</v>
      </c>
      <c r="F7" s="25" t="s">
        <v>170</v>
      </c>
      <c r="G7" s="25" t="s">
        <v>171</v>
      </c>
      <c r="H7" s="54" t="s">
        <v>175</v>
      </c>
    </row>
    <row r="8" customFormat="false" ht="36" hidden="false" customHeight="true" outlineLevel="0" collapsed="false">
      <c r="B8" s="52" t="s">
        <v>58</v>
      </c>
      <c r="C8" s="24" t="s">
        <v>176</v>
      </c>
      <c r="D8" s="24" t="s">
        <v>177</v>
      </c>
      <c r="E8" s="53" t="s">
        <v>169</v>
      </c>
      <c r="F8" s="25" t="s">
        <v>170</v>
      </c>
      <c r="G8" s="25" t="s">
        <v>171</v>
      </c>
      <c r="H8" s="54" t="s">
        <v>178</v>
      </c>
    </row>
    <row r="9" customFormat="false" ht="36" hidden="false" customHeight="true" outlineLevel="0" collapsed="false">
      <c r="B9" s="55" t="s">
        <v>64</v>
      </c>
      <c r="C9" s="18" t="s">
        <v>179</v>
      </c>
      <c r="D9" s="18" t="s">
        <v>180</v>
      </c>
      <c r="E9" s="53" t="s">
        <v>181</v>
      </c>
      <c r="F9" s="25" t="s">
        <v>170</v>
      </c>
      <c r="G9" s="21" t="s">
        <v>182</v>
      </c>
      <c r="H9" s="54" t="s">
        <v>183</v>
      </c>
    </row>
    <row r="10" customFormat="false" ht="36" hidden="false" customHeight="true" outlineLevel="0" collapsed="false">
      <c r="B10" s="52" t="s">
        <v>71</v>
      </c>
      <c r="C10" s="24" t="s">
        <v>184</v>
      </c>
      <c r="D10" s="24" t="s">
        <v>185</v>
      </c>
      <c r="E10" s="53" t="s">
        <v>169</v>
      </c>
      <c r="F10" s="25" t="s">
        <v>170</v>
      </c>
      <c r="G10" s="25" t="s">
        <v>171</v>
      </c>
      <c r="H10" s="54" t="s">
        <v>186</v>
      </c>
    </row>
    <row r="11" customFormat="false" ht="36" hidden="false" customHeight="true" outlineLevel="0" collapsed="false">
      <c r="B11" s="55" t="s">
        <v>71</v>
      </c>
      <c r="C11" s="18" t="s">
        <v>187</v>
      </c>
      <c r="D11" s="18" t="s">
        <v>188</v>
      </c>
      <c r="E11" s="53" t="s">
        <v>169</v>
      </c>
      <c r="F11" s="25" t="s">
        <v>170</v>
      </c>
      <c r="G11" s="21" t="s">
        <v>182</v>
      </c>
      <c r="H11" s="54" t="s">
        <v>186</v>
      </c>
    </row>
    <row r="12" customFormat="false" ht="36" hidden="false" customHeight="true" outlineLevel="0" collapsed="false">
      <c r="B12" s="52" t="s">
        <v>77</v>
      </c>
      <c r="C12" s="24" t="s">
        <v>189</v>
      </c>
      <c r="D12" s="24" t="s">
        <v>190</v>
      </c>
      <c r="E12" s="53" t="s">
        <v>169</v>
      </c>
      <c r="F12" s="25" t="s">
        <v>170</v>
      </c>
      <c r="G12" s="21" t="s">
        <v>182</v>
      </c>
      <c r="H12" s="54" t="s">
        <v>191</v>
      </c>
    </row>
    <row r="13" customFormat="false" ht="36" hidden="false" customHeight="true" outlineLevel="0" collapsed="false">
      <c r="B13" s="55" t="s">
        <v>84</v>
      </c>
      <c r="C13" s="18" t="s">
        <v>192</v>
      </c>
      <c r="D13" s="18" t="s">
        <v>193</v>
      </c>
      <c r="E13" s="53" t="s">
        <v>181</v>
      </c>
      <c r="F13" s="25" t="s">
        <v>170</v>
      </c>
      <c r="G13" s="25" t="s">
        <v>171</v>
      </c>
      <c r="H13" s="54" t="s">
        <v>194</v>
      </c>
    </row>
    <row r="14" customFormat="false" ht="36" hidden="false" customHeight="true" outlineLevel="0" collapsed="false">
      <c r="B14" s="52" t="s">
        <v>84</v>
      </c>
      <c r="C14" s="24" t="s">
        <v>195</v>
      </c>
      <c r="D14" s="24" t="s">
        <v>196</v>
      </c>
      <c r="E14" s="53" t="s">
        <v>169</v>
      </c>
      <c r="F14" s="25" t="s">
        <v>170</v>
      </c>
      <c r="G14" s="21" t="s">
        <v>182</v>
      </c>
      <c r="H14" s="54" t="s">
        <v>197</v>
      </c>
    </row>
    <row r="15" customFormat="false" ht="36" hidden="false" customHeight="true" outlineLevel="0" collapsed="false">
      <c r="B15" s="55" t="s">
        <v>90</v>
      </c>
      <c r="C15" s="18" t="s">
        <v>198</v>
      </c>
      <c r="D15" s="18" t="s">
        <v>199</v>
      </c>
      <c r="E15" s="53" t="s">
        <v>181</v>
      </c>
      <c r="F15" s="25" t="s">
        <v>170</v>
      </c>
      <c r="G15" s="25" t="s">
        <v>171</v>
      </c>
      <c r="H15" s="54" t="s">
        <v>200</v>
      </c>
    </row>
    <row r="16" customFormat="false" ht="36" hidden="false" customHeight="true" outlineLevel="0" collapsed="false">
      <c r="B16" s="52" t="s">
        <v>94</v>
      </c>
      <c r="C16" s="24" t="s">
        <v>201</v>
      </c>
      <c r="D16" s="24" t="s">
        <v>202</v>
      </c>
      <c r="E16" s="53" t="s">
        <v>203</v>
      </c>
      <c r="F16" s="21" t="s">
        <v>204</v>
      </c>
      <c r="G16" s="25" t="s">
        <v>171</v>
      </c>
      <c r="H16" s="54" t="s">
        <v>205</v>
      </c>
    </row>
    <row r="17" customFormat="false" ht="36" hidden="false" customHeight="true" outlineLevel="0" collapsed="false">
      <c r="B17" s="55" t="s">
        <v>98</v>
      </c>
      <c r="C17" s="18" t="s">
        <v>206</v>
      </c>
      <c r="D17" s="18" t="s">
        <v>207</v>
      </c>
      <c r="E17" s="53" t="s">
        <v>169</v>
      </c>
      <c r="F17" s="25" t="s">
        <v>170</v>
      </c>
      <c r="G17" s="25" t="s">
        <v>171</v>
      </c>
      <c r="H17" s="54" t="s">
        <v>172</v>
      </c>
    </row>
    <row r="18" customFormat="false" ht="36" hidden="false" customHeight="true" outlineLevel="0" collapsed="false">
      <c r="B18" s="52" t="s">
        <v>103</v>
      </c>
      <c r="C18" s="24" t="s">
        <v>208</v>
      </c>
      <c r="D18" s="24" t="s">
        <v>209</v>
      </c>
      <c r="E18" s="53" t="s">
        <v>169</v>
      </c>
      <c r="F18" s="25" t="s">
        <v>170</v>
      </c>
      <c r="G18" s="21" t="s">
        <v>182</v>
      </c>
      <c r="H18" s="54" t="s">
        <v>191</v>
      </c>
    </row>
  </sheetData>
  <mergeCells count="1">
    <mergeCell ref="B2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2026-04-22T20:24:53Z</dcterms:created>
  <dc:creator>openpyxl</dc:creator>
  <dc:description/>
  <dc:language>en-US</dc:language>
  <cp:lastModifiedBy/>
  <dcterms:modified xsi:type="dcterms:W3CDTF">2026-04-22T20:24:53Z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